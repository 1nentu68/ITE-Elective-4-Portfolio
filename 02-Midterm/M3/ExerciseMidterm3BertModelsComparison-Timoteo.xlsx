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Timoteo\Desktop\"/>
    </mc:Choice>
  </mc:AlternateContent>
  <xr:revisionPtr revIDLastSave="0" documentId="8_{FC462D2D-F0DA-4846-9E18-ED2E3028A338}" xr6:coauthVersionLast="47" xr6:coauthVersionMax="47" xr10:uidLastSave="{00000000-0000-0000-0000-000000000000}"/>
  <bookViews>
    <workbookView xWindow="-108" yWindow="-108" windowWidth="23256" windowHeight="12456" xr2:uid="{84A90987-A5DC-4839-97BE-D63A6020C191}"/>
  </bookViews>
  <sheets>
    <sheet name="Detailed Resul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3" i="2"/>
  <c r="C2" i="2"/>
  <c r="B5" i="2"/>
  <c r="B4" i="2"/>
  <c r="B3" i="2"/>
  <c r="B2" i="2"/>
</calcChain>
</file>

<file path=xl/sharedStrings.xml><?xml version="1.0" encoding="utf-8"?>
<sst xmlns="http://schemas.openxmlformats.org/spreadsheetml/2006/main" count="169" uniqueCount="42">
  <si>
    <t>Model Name</t>
  </si>
  <si>
    <t>Question</t>
  </si>
  <si>
    <t>Ground Truth Answer</t>
  </si>
  <si>
    <t>Model's Answer</t>
  </si>
  <si>
    <t>Inference Time (s)</t>
  </si>
  <si>
    <t>Exact Match (EM)</t>
  </si>
  <si>
    <t>deepset/bert-base-cased-squad2</t>
  </si>
  <si>
    <t>Which government department is arranging the repatriation?</t>
  </si>
  <si>
    <t>The Department of Migrant Workers (DMW)</t>
  </si>
  <si>
    <t>the Overseas Workers Welfare Administration</t>
  </si>
  <si>
    <t>Who is the DMW Undersecretary mentioned in the press briefing?</t>
  </si>
  <si>
    <t>Bernard Olalia</t>
  </si>
  <si>
    <t>Why were the scheduled flights on September 25th cancelled?</t>
  </si>
  <si>
    <t>because of the recent bombings in Beirut</t>
  </si>
  <si>
    <t>the recent bombings in Beirut.</t>
  </si>
  <si>
    <t>How many OFWs are staying in the four temporary shelters in Beirut?</t>
  </si>
  <si>
    <t>around 111</t>
  </si>
  <si>
    <t>What is one of the main challenges the Philippine government is facing with the repatriation?</t>
  </si>
  <si>
    <t>securing landing rights for chartered flights</t>
  </si>
  <si>
    <t>securing landing rights for chartered flights.</t>
  </si>
  <si>
    <t>What alternative routes are being considered if air travel becomes impossible?</t>
  </si>
  <si>
    <t>land and sea routes</t>
  </si>
  <si>
    <t>How much financial assistance will each repatriated OFW receive?</t>
  </si>
  <si>
    <t>PHP150,000</t>
  </si>
  <si>
    <t>Which Iran-backed militant group was targeted by Israel's airstrikes?</t>
  </si>
  <si>
    <t>Hezbollah</t>
  </si>
  <si>
    <t>Hezbollah.</t>
  </si>
  <si>
    <t>According to Undersecretary Olalia, were any Filipinos hurt in the attacks?</t>
  </si>
  <si>
    <t>no Filipinos were hurt</t>
  </si>
  <si>
    <t>Whose directive led to the "whole-of-government assistance"?</t>
  </si>
  <si>
    <t>President Ferdinand R. Marcos Jr.</t>
  </si>
  <si>
    <t>roberta-base-squad2</t>
  </si>
  <si>
    <t>Department of Migrant Workers</t>
  </si>
  <si>
    <t>President Ferdinand R. Marcos Jr</t>
  </si>
  <si>
    <t>bert-large-uncased-whole-word-masking-squad2</t>
  </si>
  <si>
    <t>the recent bombings in Beirut</t>
  </si>
  <si>
    <t>no</t>
  </si>
  <si>
    <t>President Ferdinand R. Marcos</t>
  </si>
  <si>
    <t>deepset/bert-large-uncased-whole-word-masking-squad2</t>
  </si>
  <si>
    <t>PHP15</t>
  </si>
  <si>
    <t>Average Inference Time (s)</t>
  </si>
  <si>
    <t>Exact Match (EM)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</si>
</sst>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CFB7-6750-49DA-8283-FFF79F8AC76B}">
  <dimension ref="A1:F41"/>
  <sheetViews>
    <sheetView tabSelected="1" workbookViewId="0">
      <selection activeCell="F31" sqref="F31"/>
    </sheetView>
  </sheetViews>
  <sheetFormatPr defaultRowHeight="14.45"/>
  <cols>
    <col min="1" max="1" width="36.28515625" customWidth="1"/>
    <col min="2" max="2" width="53.85546875" customWidth="1"/>
    <col min="3" max="3" width="37" customWidth="1"/>
    <col min="4" max="4" width="19.7109375" customWidth="1"/>
    <col min="5" max="6" width="1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s="2" t="s">
        <v>9</v>
      </c>
      <c r="E2" s="2">
        <v>3.8559999999999999</v>
      </c>
      <c r="F2">
        <v>0</v>
      </c>
    </row>
    <row r="3" spans="1:6">
      <c r="A3" s="2" t="s">
        <v>6</v>
      </c>
      <c r="B3" t="s">
        <v>10</v>
      </c>
      <c r="C3" t="s">
        <v>11</v>
      </c>
      <c r="D3" s="2" t="s">
        <v>11</v>
      </c>
      <c r="E3" s="2">
        <v>3.7033999999999998</v>
      </c>
      <c r="F3">
        <v>1</v>
      </c>
    </row>
    <row r="4" spans="1:6">
      <c r="A4" s="2" t="s">
        <v>6</v>
      </c>
      <c r="B4" t="s">
        <v>12</v>
      </c>
      <c r="C4" t="s">
        <v>13</v>
      </c>
      <c r="D4" s="2" t="s">
        <v>14</v>
      </c>
      <c r="E4" s="2">
        <v>3.6791999999999998</v>
      </c>
      <c r="F4">
        <v>1</v>
      </c>
    </row>
    <row r="5" spans="1:6">
      <c r="A5" s="2" t="s">
        <v>6</v>
      </c>
      <c r="B5" t="s">
        <v>15</v>
      </c>
      <c r="C5" t="s">
        <v>16</v>
      </c>
      <c r="D5" s="2">
        <v>111</v>
      </c>
      <c r="E5" s="2">
        <v>4.6177999999999999</v>
      </c>
      <c r="F5">
        <v>1</v>
      </c>
    </row>
    <row r="6" spans="1:6">
      <c r="A6" s="2" t="s">
        <v>6</v>
      </c>
      <c r="B6" t="s">
        <v>17</v>
      </c>
      <c r="C6" t="s">
        <v>18</v>
      </c>
      <c r="D6" s="2" t="s">
        <v>19</v>
      </c>
      <c r="E6" s="2">
        <v>3.7332000000000001</v>
      </c>
      <c r="F6">
        <v>1</v>
      </c>
    </row>
    <row r="7" spans="1:6">
      <c r="A7" s="2" t="s">
        <v>6</v>
      </c>
      <c r="B7" t="s">
        <v>20</v>
      </c>
      <c r="C7" t="s">
        <v>21</v>
      </c>
      <c r="D7" s="2" t="s">
        <v>21</v>
      </c>
      <c r="E7" s="2">
        <v>3.7052</v>
      </c>
      <c r="F7">
        <v>1</v>
      </c>
    </row>
    <row r="8" spans="1:6">
      <c r="A8" s="2" t="s">
        <v>6</v>
      </c>
      <c r="B8" t="s">
        <v>22</v>
      </c>
      <c r="C8" t="s">
        <v>23</v>
      </c>
      <c r="D8" s="2" t="s">
        <v>23</v>
      </c>
      <c r="E8" s="2">
        <v>3.7023000000000001</v>
      </c>
      <c r="F8">
        <v>1</v>
      </c>
    </row>
    <row r="9" spans="1:6">
      <c r="A9" s="2" t="s">
        <v>6</v>
      </c>
      <c r="B9" t="s">
        <v>24</v>
      </c>
      <c r="C9" t="s">
        <v>25</v>
      </c>
      <c r="D9" s="2" t="s">
        <v>26</v>
      </c>
      <c r="E9" s="2">
        <v>3.7063000000000001</v>
      </c>
      <c r="F9">
        <v>1</v>
      </c>
    </row>
    <row r="10" spans="1:6">
      <c r="A10" s="2" t="s">
        <v>6</v>
      </c>
      <c r="B10" t="s">
        <v>27</v>
      </c>
      <c r="C10" t="s">
        <v>28</v>
      </c>
      <c r="D10" s="2" t="s">
        <v>28</v>
      </c>
      <c r="E10" s="2">
        <v>3.7511999999999999</v>
      </c>
      <c r="F10">
        <v>1</v>
      </c>
    </row>
    <row r="11" spans="1:6">
      <c r="A11" s="2" t="s">
        <v>6</v>
      </c>
      <c r="B11" t="s">
        <v>29</v>
      </c>
      <c r="C11" t="s">
        <v>30</v>
      </c>
      <c r="D11" s="2" t="s">
        <v>11</v>
      </c>
      <c r="E11" s="2">
        <v>3.9887000000000001</v>
      </c>
      <c r="F11">
        <v>0</v>
      </c>
    </row>
    <row r="12" spans="1:6">
      <c r="A12" t="s">
        <v>31</v>
      </c>
      <c r="B12" t="s">
        <v>7</v>
      </c>
      <c r="C12" t="s">
        <v>8</v>
      </c>
      <c r="D12" s="2" t="s">
        <v>32</v>
      </c>
      <c r="E12" s="2">
        <v>2.6497000000000002</v>
      </c>
      <c r="F12">
        <v>1</v>
      </c>
    </row>
    <row r="13" spans="1:6">
      <c r="A13" t="s">
        <v>31</v>
      </c>
      <c r="B13" t="s">
        <v>10</v>
      </c>
      <c r="C13" t="s">
        <v>11</v>
      </c>
      <c r="D13" s="2" t="s">
        <v>11</v>
      </c>
      <c r="E13" s="2">
        <v>3.5207999999999999</v>
      </c>
      <c r="F13">
        <v>1</v>
      </c>
    </row>
    <row r="14" spans="1:6">
      <c r="A14" t="s">
        <v>31</v>
      </c>
      <c r="B14" t="s">
        <v>12</v>
      </c>
      <c r="C14" t="s">
        <v>13</v>
      </c>
      <c r="D14" s="2" t="s">
        <v>13</v>
      </c>
      <c r="E14" s="2">
        <v>1.9974000000000001</v>
      </c>
      <c r="F14">
        <v>1</v>
      </c>
    </row>
    <row r="15" spans="1:6">
      <c r="A15" t="s">
        <v>31</v>
      </c>
      <c r="B15" t="s">
        <v>15</v>
      </c>
      <c r="C15" t="s">
        <v>16</v>
      </c>
      <c r="D15" s="2">
        <v>111</v>
      </c>
      <c r="E15" s="2">
        <v>3.1610999999999998</v>
      </c>
      <c r="F15">
        <v>1</v>
      </c>
    </row>
    <row r="16" spans="1:6">
      <c r="A16" t="s">
        <v>31</v>
      </c>
      <c r="B16" t="s">
        <v>17</v>
      </c>
      <c r="C16" t="s">
        <v>18</v>
      </c>
      <c r="D16" s="2" t="s">
        <v>18</v>
      </c>
      <c r="E16" s="2">
        <v>1.1977</v>
      </c>
      <c r="F16">
        <v>1</v>
      </c>
    </row>
    <row r="17" spans="1:6">
      <c r="A17" t="s">
        <v>31</v>
      </c>
      <c r="B17" t="s">
        <v>20</v>
      </c>
      <c r="C17" t="s">
        <v>21</v>
      </c>
      <c r="D17" s="2" t="s">
        <v>21</v>
      </c>
      <c r="E17" s="2">
        <v>2.1070000000000002</v>
      </c>
      <c r="F17">
        <v>1</v>
      </c>
    </row>
    <row r="18" spans="1:6">
      <c r="A18" t="s">
        <v>31</v>
      </c>
      <c r="B18" t="s">
        <v>22</v>
      </c>
      <c r="C18" t="s">
        <v>23</v>
      </c>
      <c r="D18" s="2" t="s">
        <v>23</v>
      </c>
      <c r="E18" s="2">
        <v>1.2828999999999999</v>
      </c>
      <c r="F18">
        <v>1</v>
      </c>
    </row>
    <row r="19" spans="1:6">
      <c r="A19" t="s">
        <v>31</v>
      </c>
      <c r="B19" t="s">
        <v>24</v>
      </c>
      <c r="C19" t="s">
        <v>25</v>
      </c>
      <c r="D19" s="2" t="s">
        <v>25</v>
      </c>
      <c r="E19" s="2">
        <v>1.1987000000000001</v>
      </c>
      <c r="F19">
        <v>1</v>
      </c>
    </row>
    <row r="20" spans="1:6">
      <c r="A20" t="s">
        <v>31</v>
      </c>
      <c r="B20" t="s">
        <v>27</v>
      </c>
      <c r="C20" t="s">
        <v>28</v>
      </c>
      <c r="D20" s="2" t="s">
        <v>28</v>
      </c>
      <c r="E20" s="2">
        <v>1.9354</v>
      </c>
      <c r="F20">
        <v>1</v>
      </c>
    </row>
    <row r="21" spans="1:6">
      <c r="A21" t="s">
        <v>31</v>
      </c>
      <c r="B21" t="s">
        <v>29</v>
      </c>
      <c r="C21" t="s">
        <v>30</v>
      </c>
      <c r="D21" s="2" t="s">
        <v>33</v>
      </c>
      <c r="E21" s="2">
        <v>1.1969000000000001</v>
      </c>
      <c r="F21">
        <v>1</v>
      </c>
    </row>
    <row r="22" spans="1:6">
      <c r="A22" t="s">
        <v>34</v>
      </c>
      <c r="B22" t="s">
        <v>7</v>
      </c>
      <c r="C22" t="s">
        <v>8</v>
      </c>
      <c r="D22" s="2" t="s">
        <v>32</v>
      </c>
      <c r="E22" s="2">
        <v>2.5747</v>
      </c>
      <c r="F22">
        <v>1</v>
      </c>
    </row>
    <row r="23" spans="1:6">
      <c r="A23" t="s">
        <v>34</v>
      </c>
      <c r="B23" t="s">
        <v>10</v>
      </c>
      <c r="C23" t="s">
        <v>11</v>
      </c>
      <c r="D23" s="2" t="s">
        <v>11</v>
      </c>
      <c r="E23" s="2">
        <v>3.3519999999999999</v>
      </c>
      <c r="F23">
        <v>1</v>
      </c>
    </row>
    <row r="24" spans="1:6">
      <c r="A24" t="s">
        <v>34</v>
      </c>
      <c r="B24" t="s">
        <v>12</v>
      </c>
      <c r="C24" t="s">
        <v>13</v>
      </c>
      <c r="D24" s="2" t="s">
        <v>35</v>
      </c>
      <c r="E24" s="2">
        <v>2.2562000000000002</v>
      </c>
      <c r="F24">
        <v>1</v>
      </c>
    </row>
    <row r="25" spans="1:6">
      <c r="A25" t="s">
        <v>34</v>
      </c>
      <c r="B25" t="s">
        <v>15</v>
      </c>
      <c r="C25" t="s">
        <v>16</v>
      </c>
      <c r="D25" s="2">
        <v>111</v>
      </c>
      <c r="E25" s="2">
        <v>3.3435999999999999</v>
      </c>
      <c r="F25">
        <v>1</v>
      </c>
    </row>
    <row r="26" spans="1:6">
      <c r="A26" t="s">
        <v>34</v>
      </c>
      <c r="B26" t="s">
        <v>17</v>
      </c>
      <c r="C26" t="s">
        <v>18</v>
      </c>
      <c r="D26" s="2" t="s">
        <v>18</v>
      </c>
      <c r="E26" s="2">
        <v>2.2825000000000002</v>
      </c>
      <c r="F26">
        <v>1</v>
      </c>
    </row>
    <row r="27" spans="1:6">
      <c r="A27" t="s">
        <v>34</v>
      </c>
      <c r="B27" t="s">
        <v>20</v>
      </c>
      <c r="C27" t="s">
        <v>21</v>
      </c>
      <c r="D27" s="2" t="s">
        <v>21</v>
      </c>
      <c r="E27" s="2">
        <v>2.2623000000000002</v>
      </c>
      <c r="F27">
        <v>1</v>
      </c>
    </row>
    <row r="28" spans="1:6">
      <c r="A28" t="s">
        <v>34</v>
      </c>
      <c r="B28" t="s">
        <v>22</v>
      </c>
      <c r="C28" t="s">
        <v>23</v>
      </c>
      <c r="D28" s="2" t="s">
        <v>23</v>
      </c>
      <c r="E28" s="2">
        <v>2.2593000000000001</v>
      </c>
      <c r="F28">
        <v>1</v>
      </c>
    </row>
    <row r="29" spans="1:6">
      <c r="A29" t="s">
        <v>34</v>
      </c>
      <c r="B29" t="s">
        <v>24</v>
      </c>
      <c r="C29" t="s">
        <v>25</v>
      </c>
      <c r="D29" s="2" t="s">
        <v>25</v>
      </c>
      <c r="E29" s="2">
        <v>2.2884000000000002</v>
      </c>
      <c r="F29">
        <v>1</v>
      </c>
    </row>
    <row r="30" spans="1:6">
      <c r="A30" t="s">
        <v>34</v>
      </c>
      <c r="B30" t="s">
        <v>27</v>
      </c>
      <c r="C30" t="s">
        <v>28</v>
      </c>
      <c r="D30" s="2" t="s">
        <v>36</v>
      </c>
      <c r="E30" s="2">
        <v>2.2755999999999998</v>
      </c>
      <c r="F30">
        <v>0</v>
      </c>
    </row>
    <row r="31" spans="1:6">
      <c r="A31" t="s">
        <v>34</v>
      </c>
      <c r="B31" t="s">
        <v>29</v>
      </c>
      <c r="C31" t="s">
        <v>30</v>
      </c>
      <c r="D31" s="2" t="s">
        <v>37</v>
      </c>
      <c r="E31" s="2">
        <v>3.2530999999999999</v>
      </c>
      <c r="F31">
        <v>1</v>
      </c>
    </row>
    <row r="32" spans="1:6">
      <c r="A32" s="2" t="s">
        <v>38</v>
      </c>
      <c r="B32" t="s">
        <v>7</v>
      </c>
      <c r="C32" t="s">
        <v>8</v>
      </c>
      <c r="D32" s="2" t="s">
        <v>32</v>
      </c>
      <c r="E32" s="2">
        <v>13.072900000000001</v>
      </c>
      <c r="F32">
        <v>1</v>
      </c>
    </row>
    <row r="33" spans="1:6">
      <c r="A33" s="2" t="s">
        <v>38</v>
      </c>
      <c r="B33" t="s">
        <v>10</v>
      </c>
      <c r="C33" t="s">
        <v>11</v>
      </c>
      <c r="D33" s="2" t="s">
        <v>11</v>
      </c>
      <c r="E33" s="2">
        <v>9.3004999999999995</v>
      </c>
      <c r="F33">
        <v>1</v>
      </c>
    </row>
    <row r="34" spans="1:6">
      <c r="A34" s="2" t="s">
        <v>38</v>
      </c>
      <c r="B34" t="s">
        <v>12</v>
      </c>
      <c r="C34" t="s">
        <v>13</v>
      </c>
      <c r="D34" s="2" t="s">
        <v>35</v>
      </c>
      <c r="E34" s="2">
        <v>8.9130000000000003</v>
      </c>
      <c r="F34">
        <v>1</v>
      </c>
    </row>
    <row r="35" spans="1:6">
      <c r="A35" s="2" t="s">
        <v>38</v>
      </c>
      <c r="B35" t="s">
        <v>15</v>
      </c>
      <c r="C35" t="s">
        <v>16</v>
      </c>
      <c r="D35" s="2">
        <v>111</v>
      </c>
      <c r="E35" s="2">
        <v>9.1723999999999997</v>
      </c>
      <c r="F35">
        <v>1</v>
      </c>
    </row>
    <row r="36" spans="1:6">
      <c r="A36" s="2" t="s">
        <v>38</v>
      </c>
      <c r="B36" t="s">
        <v>17</v>
      </c>
      <c r="C36" t="s">
        <v>18</v>
      </c>
      <c r="D36" s="2" t="s">
        <v>18</v>
      </c>
      <c r="E36" s="2">
        <v>9.2592999999999996</v>
      </c>
      <c r="F36">
        <v>1</v>
      </c>
    </row>
    <row r="37" spans="1:6">
      <c r="A37" s="2" t="s">
        <v>38</v>
      </c>
      <c r="B37" t="s">
        <v>20</v>
      </c>
      <c r="C37" t="s">
        <v>21</v>
      </c>
      <c r="D37" s="2" t="s">
        <v>21</v>
      </c>
      <c r="E37" s="2">
        <v>9.1329999999999991</v>
      </c>
      <c r="F37">
        <v>1</v>
      </c>
    </row>
    <row r="38" spans="1:6">
      <c r="A38" s="2" t="s">
        <v>38</v>
      </c>
      <c r="B38" t="s">
        <v>22</v>
      </c>
      <c r="C38" t="s">
        <v>23</v>
      </c>
      <c r="D38" s="2" t="s">
        <v>39</v>
      </c>
      <c r="E38" s="2">
        <v>8.3573000000000004</v>
      </c>
      <c r="F38">
        <v>0</v>
      </c>
    </row>
    <row r="39" spans="1:6">
      <c r="A39" s="2" t="s">
        <v>38</v>
      </c>
      <c r="B39" t="s">
        <v>24</v>
      </c>
      <c r="C39" t="s">
        <v>25</v>
      </c>
      <c r="D39" t="s">
        <v>25</v>
      </c>
      <c r="E39" s="2">
        <v>8.2121999999999993</v>
      </c>
      <c r="F39">
        <v>1</v>
      </c>
    </row>
    <row r="40" spans="1:6">
      <c r="A40" s="2" t="s">
        <v>38</v>
      </c>
      <c r="B40" t="s">
        <v>27</v>
      </c>
      <c r="C40" t="s">
        <v>28</v>
      </c>
      <c r="D40" s="2" t="s">
        <v>28</v>
      </c>
      <c r="E40" s="2">
        <v>9.2878000000000007</v>
      </c>
      <c r="F40">
        <v>1</v>
      </c>
    </row>
    <row r="41" spans="1:6">
      <c r="A41" s="2" t="s">
        <v>38</v>
      </c>
      <c r="B41" t="s">
        <v>29</v>
      </c>
      <c r="C41" t="s">
        <v>30</v>
      </c>
      <c r="D41" s="2" t="s">
        <v>33</v>
      </c>
      <c r="E41" s="2">
        <v>9.1640999999999995</v>
      </c>
      <c r="F41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2557-7E2D-4657-83AB-DE4C28D9418B}">
  <dimension ref="A1:C5"/>
  <sheetViews>
    <sheetView workbookViewId="0">
      <selection activeCell="C14" sqref="C14"/>
    </sheetView>
  </sheetViews>
  <sheetFormatPr defaultRowHeight="14.45"/>
  <cols>
    <col min="1" max="1" width="49.5703125" customWidth="1"/>
    <col min="2" max="2" width="29" customWidth="1"/>
    <col min="3" max="3" width="22.7109375" customWidth="1"/>
  </cols>
  <sheetData>
    <row r="1" spans="1:3">
      <c r="A1" s="1" t="s">
        <v>0</v>
      </c>
      <c r="B1" s="1" t="s">
        <v>40</v>
      </c>
      <c r="C1" s="1" t="s">
        <v>41</v>
      </c>
    </row>
    <row r="2" spans="1:3">
      <c r="A2" t="s">
        <v>6</v>
      </c>
      <c r="B2">
        <f>AVERAGE('Detailed Results'!E2:E11)</f>
        <v>3.8443300000000002</v>
      </c>
      <c r="C2">
        <f>SUM('Detailed Results'!F2:F11)</f>
        <v>8</v>
      </c>
    </row>
    <row r="3" spans="1:3">
      <c r="A3" t="s">
        <v>31</v>
      </c>
      <c r="B3">
        <f>AVERAGE('Detailed Results'!E12:E21)</f>
        <v>2.0247600000000001</v>
      </c>
      <c r="C3">
        <f>SUM('Detailed Results'!F12:F21)</f>
        <v>10</v>
      </c>
    </row>
    <row r="4" spans="1:3">
      <c r="A4" t="s">
        <v>34</v>
      </c>
      <c r="B4">
        <f>AVERAGE('Detailed Results'!E22:E31)</f>
        <v>2.61477</v>
      </c>
      <c r="C4">
        <f>SUM('Detailed Results'!F22:F31)</f>
        <v>9</v>
      </c>
    </row>
    <row r="5" spans="1:3">
      <c r="A5" t="s">
        <v>38</v>
      </c>
      <c r="B5">
        <f>AVERAGE('Detailed Results'!E32:E41)</f>
        <v>9.3872499999999981</v>
      </c>
      <c r="C5">
        <f>SUM('Detailed Results'!F32:F41)</f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13abd7ba4b4bab649d04a731157e96c4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97187ac44f693296ae761ab1c7e14ec3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3CD14D-9EEE-49C1-934F-965F6DCE94CC}"/>
</file>

<file path=customXml/itemProps2.xml><?xml version="1.0" encoding="utf-8"?>
<ds:datastoreItem xmlns:ds="http://schemas.openxmlformats.org/officeDocument/2006/customXml" ds:itemID="{236ED6C6-A29D-4825-B0A6-7B45A7E46DDF}"/>
</file>

<file path=customXml/itemProps3.xml><?xml version="1.0" encoding="utf-8"?>
<ds:datastoreItem xmlns:ds="http://schemas.openxmlformats.org/officeDocument/2006/customXml" ds:itemID="{690F896F-F778-409D-99CE-E34895613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Miguel Timoteo</dc:creator>
  <cp:keywords/>
  <dc:description/>
  <cp:lastModifiedBy>Rodolfo Raga</cp:lastModifiedBy>
  <cp:revision/>
  <dcterms:created xsi:type="dcterms:W3CDTF">2025-09-30T17:40:04Z</dcterms:created>
  <dcterms:modified xsi:type="dcterms:W3CDTF">2025-10-14T14:00:03Z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  <property fmtid="{D5CDD505-2E9C-101B-9397-08002B2CF9AE}" pid="3" name="MediaServiceImageTags">
    <vt:lpwstr/>
  </property>
</Properties>
</file>